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 Billing" state="visible" r:id="rId4"/>
    <sheet sheetId="2" name="Vendor Disbursements" state="visible" r:id="rId5"/>
  </sheets>
  <calcPr calcId="171027"/>
</workbook>
</file>

<file path=xl/sharedStrings.xml><?xml version="1.0" encoding="utf-8"?>
<sst xmlns="http://schemas.openxmlformats.org/spreadsheetml/2006/main" count="66" uniqueCount="60">
  <si>
    <t>THE 5 DESIGNS</t>
  </si>
  <si>
    <t>CLIENT BILLING SUMMARY &amp; OUTSTANDING CASHFLOW</t>
  </si>
  <si>
    <t>Project: Luxury Residence</t>
  </si>
  <si>
    <t>Client: Mr. Kapoor</t>
  </si>
  <si>
    <t>Estimated Budget: ₹45,00,000.00</t>
  </si>
  <si>
    <t>Currency: INR</t>
  </si>
  <si>
    <t>Invoice No</t>
  </si>
  <si>
    <t>Invoice Date</t>
  </si>
  <si>
    <t>Stage / Description</t>
  </si>
  <si>
    <t>Net Amount (INR)</t>
  </si>
  <si>
    <t>GST (18%)</t>
  </si>
  <si>
    <t>Total Invoiced (INR)</t>
  </si>
  <si>
    <t>Amount Received</t>
  </si>
  <si>
    <t>Outstanding Bal</t>
  </si>
  <si>
    <t>Date Received</t>
  </si>
  <si>
    <t>Payment Mode</t>
  </si>
  <si>
    <t>INV-01</t>
  </si>
  <si>
    <t>2026-06-10</t>
  </si>
  <si>
    <t>Design Retainer &amp; Token Fee (10%)</t>
  </si>
  <si>
    <t>2026-06-12</t>
  </si>
  <si>
    <t>NEFT</t>
  </si>
  <si>
    <t>INV-02</t>
  </si>
  <si>
    <t>2026-07-02</t>
  </si>
  <si>
    <t>Mobilization Advance (20%)</t>
  </si>
  <si>
    <t>2026-07-04</t>
  </si>
  <si>
    <t>RTGS</t>
  </si>
  <si>
    <t>INV-03</t>
  </si>
  <si>
    <t>2026-08-15</t>
  </si>
  <si>
    <t>Civil, Plaster &amp; MEP Stage Payment (25%)</t>
  </si>
  <si>
    <t>-</t>
  </si>
  <si>
    <t>TOTALS</t>
  </si>
  <si>
    <t>CONTRACTOR &amp; VENDOR OUTSTANDING LIABILITIES</t>
  </si>
  <si>
    <t>Manager: Srinivas R.</t>
  </si>
  <si>
    <t>Date Updated: 2026-06-24</t>
  </si>
  <si>
    <t>Vendor / Contractor Name</t>
  </si>
  <si>
    <t>Work Category</t>
  </si>
  <si>
    <t>Bill Ref Code</t>
  </si>
  <si>
    <t>Bill Amount (INR)</t>
  </si>
  <si>
    <t>Paid Amount (INR)</t>
  </si>
  <si>
    <t>Balance Outstanding</t>
  </si>
  <si>
    <t>Payment Due Date</t>
  </si>
  <si>
    <t>Status</t>
  </si>
  <si>
    <t>Apex Woodwork Corp</t>
  </si>
  <si>
    <t>Carpentry &amp; Wardrobes</t>
  </si>
  <si>
    <t>APX-W-01</t>
  </si>
  <si>
    <t>2026-08-25</t>
  </si>
  <si>
    <t>Partially Paid</t>
  </si>
  <si>
    <t>Deco Stone Importers</t>
  </si>
  <si>
    <t>Italian Marble Supply</t>
  </si>
  <si>
    <t>DEC-ST-11</t>
  </si>
  <si>
    <t>2026-07-15</t>
  </si>
  <si>
    <t>Fully Paid</t>
  </si>
  <si>
    <t>Shree Electricals</t>
  </si>
  <si>
    <t>Wiring &amp; Conduits</t>
  </si>
  <si>
    <t>SHR-EL-04</t>
  </si>
  <si>
    <t>2026-08-02</t>
  </si>
  <si>
    <t>Asian Paints Depot</t>
  </si>
  <si>
    <t>Emulsion &amp; Primer Supply</t>
  </si>
  <si>
    <t>APD-9922</t>
  </si>
  <si>
    <t>2026-08-10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</si>
</sst>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i/>
      <color rgb="FFF5F5F0"/>
      <sz val="16"/>
      <name val="Outfit"/>
    </font>
    <font>
      <b/>
      <color rgb="FFC5A059"/>
      <sz val="11"/>
      <name val="Outfit"/>
    </font>
    <font>
      <b/>
      <color rgb="FFC5A059"/>
      <sz val="10"/>
      <name val="Outfit"/>
    </font>
    <font>
      <b/>
      <color rgb="FFF5F5F0"/>
      <sz val="10"/>
      <name val="Outfit"/>
    </font>
    <font>
      <b/>
      <color rgb="FF1A1A1A"/>
      <sz val="10"/>
      <name val="Outfit"/>
    </font>
    <font>
      <color rgb="FF1A1A1A"/>
      <sz val="10"/>
      <name val="Outfit"/>
    </font>
    <font>
      <b/>
      <color rgb="FF1E7E34"/>
      <sz val="10"/>
      <name val="Outfit"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5F5F0"/>
      </patternFill>
    </fill>
    <fill>
      <patternFill patternType="solid">
        <fgColor rgb="FFFDFDFB"/>
      </patternFill>
    </fill>
    <fill>
      <patternFill patternType="solid">
        <fgColor rgb="FFFFFFFF"/>
      </patternFill>
    </fill>
    <fill>
      <patternFill patternType="solid">
        <fgColor rgb="FFC5A059"/>
      </patternFill>
    </fill>
  </fills>
  <borders count="4">
    <border>
      <left/>
      <right/>
      <top/>
      <bottom/>
      <diagonal/>
    </border>
    <border>
      <left style="thin">
        <color rgb="FFE5E5E0"/>
      </left>
      <right style="thin">
        <color rgb="FFE5E5E0"/>
      </right>
      <top style="thin">
        <color rgb="FFE5E5E0"/>
      </top>
      <bottom style="thin">
        <color rgb="FFE5E5E0"/>
      </bottom>
      <diagonal/>
    </border>
    <border>
      <left style="thin">
        <color rgb="FFE5E5E0"/>
      </left>
      <right style="thin">
        <color rgb="FFE5E5E0"/>
      </right>
      <top style="thin">
        <color rgb="FFC5A059"/>
      </top>
      <bottom style="medium">
        <color rgb="FFC5A059"/>
      </bottom>
      <diagonal/>
    </border>
    <border>
      <left style="thin">
        <color rgb="FFE5E5E0"/>
      </left>
      <right style="thin">
        <color rgb="FFE5E5E0"/>
      </right>
      <top style="medium">
        <color rgb="FF1A1A1A"/>
      </top>
      <bottom style="double">
        <color rgb="FF1A1A1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5" fillId="6" borderId="3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5" customWidth="1"/>
    <col min="4" max="4" width="16" customWidth="1"/>
    <col min="5" max="5" width="14" customWidth="1"/>
    <col min="6" max="6" width="18" customWidth="1"/>
    <col min="7" max="8" width="16" customWidth="1"/>
    <col min="9" max="9" width="14" customWidth="1"/>
    <col min="10" max="10" width="12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/>
      <c r="H4" s="3" t="s">
        <v>5</v>
      </c>
      <c r="I4" s="3"/>
      <c r="J4" s="3"/>
    </row>
    <row r="5" ht="26" customHeight="1" spans="1:10" x14ac:dyDescent="0.25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</row>
    <row r="6" ht="28" customHeight="1" spans="1:10" x14ac:dyDescent="0.25">
      <c r="A6" s="5" t="s">
        <v>16</v>
      </c>
      <c r="B6" s="6" t="s">
        <v>17</v>
      </c>
      <c r="C6" s="7" t="s">
        <v>18</v>
      </c>
      <c r="D6" s="8">
        <v>150000</v>
      </c>
      <c r="E6" s="8">
        <f>D6*0.18</f>
      </c>
      <c r="F6" s="9">
        <f>D6+E6</f>
      </c>
      <c r="G6" s="8">
        <v>177000</v>
      </c>
      <c r="H6" s="9">
        <f>F6-G6</f>
      </c>
      <c r="I6" s="6" t="s">
        <v>19</v>
      </c>
      <c r="J6" s="6" t="s">
        <v>20</v>
      </c>
    </row>
    <row r="7" ht="28" customHeight="1" spans="1:10" x14ac:dyDescent="0.25">
      <c r="A7" s="10" t="s">
        <v>21</v>
      </c>
      <c r="B7" s="11" t="s">
        <v>22</v>
      </c>
      <c r="C7" s="12" t="s">
        <v>23</v>
      </c>
      <c r="D7" s="13">
        <v>300000</v>
      </c>
      <c r="E7" s="13">
        <f>D7*0.18</f>
      </c>
      <c r="F7" s="14">
        <f>D7+E7</f>
      </c>
      <c r="G7" s="13">
        <v>354000</v>
      </c>
      <c r="H7" s="14">
        <f>F7-G7</f>
      </c>
      <c r="I7" s="11" t="s">
        <v>24</v>
      </c>
      <c r="J7" s="11" t="s">
        <v>25</v>
      </c>
    </row>
    <row r="8" ht="28" customHeight="1" spans="1:10" x14ac:dyDescent="0.25">
      <c r="A8" s="5" t="s">
        <v>26</v>
      </c>
      <c r="B8" s="6" t="s">
        <v>27</v>
      </c>
      <c r="C8" s="7" t="s">
        <v>28</v>
      </c>
      <c r="D8" s="8">
        <v>375000</v>
      </c>
      <c r="E8" s="8">
        <f>D8*0.18</f>
      </c>
      <c r="F8" s="9">
        <f>D8+E8</f>
      </c>
      <c r="G8" s="8">
        <v>0</v>
      </c>
      <c r="H8" s="9">
        <f>F8-G8</f>
      </c>
      <c r="I8" s="6" t="s">
        <v>29</v>
      </c>
      <c r="J8" s="6" t="s">
        <v>29</v>
      </c>
    </row>
    <row r="9" ht="28" customHeight="1" spans="1:10" x14ac:dyDescent="0.25">
      <c r="A9" s="15" t="s">
        <v>30</v>
      </c>
      <c r="B9" s="15"/>
      <c r="C9" s="15"/>
      <c r="D9" s="16">
        <f>=SUM(D6:D8)</f>
      </c>
      <c r="E9" s="16">
        <f>=SUM(E6:E8)</f>
      </c>
      <c r="F9" s="16">
        <f>=SUM(F6:F8)</f>
      </c>
      <c r="G9" s="16">
        <f>=SUM(G6:G8)</f>
      </c>
      <c r="H9" s="17">
        <f>=SUM(H6:H8)</f>
      </c>
      <c r="I9" s="15"/>
      <c r="J9" s="15"/>
    </row>
  </sheetData>
  <mergeCells count="7">
    <mergeCell ref="A1:J2"/>
    <mergeCell ref="A3:J3"/>
    <mergeCell ref="A4:B4"/>
    <mergeCell ref="C4:D4"/>
    <mergeCell ref="E4:G4"/>
    <mergeCell ref="H4:J4"/>
    <mergeCell ref="A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4" customWidth="1"/>
    <col min="4" max="5" width="16" customWidth="1"/>
    <col min="6" max="6" width="18" customWidth="1"/>
    <col min="7" max="8" width="14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31</v>
      </c>
      <c r="B3" s="2"/>
      <c r="C3" s="2"/>
      <c r="D3" s="2"/>
      <c r="E3" s="2"/>
      <c r="F3" s="2"/>
      <c r="G3" s="2"/>
      <c r="H3" s="2"/>
    </row>
    <row r="4" spans="1:8" x14ac:dyDescent="0.25">
      <c r="A4" s="3" t="s">
        <v>2</v>
      </c>
      <c r="B4" s="3"/>
      <c r="C4" s="3" t="s">
        <v>32</v>
      </c>
      <c r="D4" s="3"/>
      <c r="E4" s="3" t="s">
        <v>33</v>
      </c>
      <c r="F4" s="3"/>
      <c r="G4" s="3"/>
      <c r="H4" s="3"/>
    </row>
    <row r="5" ht="26" customHeight="1" spans="1:8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</row>
    <row r="6" ht="28" customHeight="1" spans="1:8" x14ac:dyDescent="0.25">
      <c r="A6" s="7" t="s">
        <v>42</v>
      </c>
      <c r="B6" s="7" t="s">
        <v>43</v>
      </c>
      <c r="C6" s="6" t="s">
        <v>44</v>
      </c>
      <c r="D6" s="8">
        <v>250000</v>
      </c>
      <c r="E6" s="8">
        <v>150000</v>
      </c>
      <c r="F6" s="9">
        <f>D6-E6</f>
      </c>
      <c r="G6" s="6" t="s">
        <v>45</v>
      </c>
      <c r="H6" s="18" t="s">
        <v>46</v>
      </c>
    </row>
    <row r="7" ht="28" customHeight="1" spans="1:8" x14ac:dyDescent="0.25">
      <c r="A7" s="12" t="s">
        <v>47</v>
      </c>
      <c r="B7" s="12" t="s">
        <v>48</v>
      </c>
      <c r="C7" s="11" t="s">
        <v>49</v>
      </c>
      <c r="D7" s="13">
        <v>320000</v>
      </c>
      <c r="E7" s="13">
        <v>320000</v>
      </c>
      <c r="F7" s="14">
        <f>D7-E7</f>
      </c>
      <c r="G7" s="11" t="s">
        <v>50</v>
      </c>
      <c r="H7" s="19" t="s">
        <v>51</v>
      </c>
    </row>
    <row r="8" ht="28" customHeight="1" spans="1:8" x14ac:dyDescent="0.25">
      <c r="A8" s="7" t="s">
        <v>52</v>
      </c>
      <c r="B8" s="7" t="s">
        <v>53</v>
      </c>
      <c r="C8" s="6" t="s">
        <v>54</v>
      </c>
      <c r="D8" s="8">
        <v>85000</v>
      </c>
      <c r="E8" s="8">
        <v>40000</v>
      </c>
      <c r="F8" s="9">
        <f>D8-E8</f>
      </c>
      <c r="G8" s="6" t="s">
        <v>55</v>
      </c>
      <c r="H8" s="18" t="s">
        <v>46</v>
      </c>
    </row>
    <row r="9" ht="28" customHeight="1" spans="1:8" x14ac:dyDescent="0.25">
      <c r="A9" s="12" t="s">
        <v>56</v>
      </c>
      <c r="B9" s="12" t="s">
        <v>57</v>
      </c>
      <c r="C9" s="11" t="s">
        <v>58</v>
      </c>
      <c r="D9" s="13">
        <v>45000</v>
      </c>
      <c r="E9" s="13">
        <v>45000</v>
      </c>
      <c r="F9" s="14">
        <f>D9-E9</f>
      </c>
      <c r="G9" s="11" t="s">
        <v>59</v>
      </c>
      <c r="H9" s="19" t="s">
        <v>51</v>
      </c>
    </row>
    <row r="10" ht="28" customHeight="1" spans="1:8" x14ac:dyDescent="0.25">
      <c r="A10" s="15" t="s">
        <v>30</v>
      </c>
      <c r="B10" s="15"/>
      <c r="C10" s="15"/>
      <c r="D10" s="16">
        <f>=SUM(D6:D9)</f>
      </c>
      <c r="E10" s="16">
        <f>=SUM(E6:E9)</f>
      </c>
      <c r="F10" s="17">
        <f>=SUM(F6:F9)</f>
      </c>
      <c r="G10" s="15"/>
      <c r="H10" s="15"/>
    </row>
  </sheetData>
  <mergeCells count="6">
    <mergeCell ref="A1:H2"/>
    <mergeCell ref="A3:H3"/>
    <mergeCell ref="A4:B4"/>
    <mergeCell ref="C4:D4"/>
    <mergeCell ref="E4:H4"/>
    <mergeCell ref="A10:C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Billing</vt:lpstr>
      <vt:lpstr>Vendor Disbursements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2026-06-30T07:19:39Z</dcterms:created>
  <dcterms:modified xsi:type="dcterms:W3CDTF">2026-06-30T07:19:39Z</dcterms:modified>
</cp:coreProperties>
</file>