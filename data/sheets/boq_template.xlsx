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Quantities" state="visible" r:id="rId4"/>
  </sheets>
  <calcPr calcId="171027"/>
</workbook>
</file>

<file path=xl/sharedStrings.xml><?xml version="1.0" encoding="utf-8"?>
<sst xmlns="http://schemas.openxmlformats.org/spreadsheetml/2006/main" count="65" uniqueCount="58">
  <si>
    <t>THE 5 DESIGNS</t>
  </si>
  <si>
    <t>BILL OF QUANTITIES (BOQ)</t>
  </si>
  <si>
    <t>Project: Luxury Villa Penthouse</t>
  </si>
  <si>
    <t>Client: Mr. &amp; Mrs. Kapoor</t>
  </si>
  <si>
    <t>Date: 2026-06-24</t>
  </si>
  <si>
    <t>Item No</t>
  </si>
  <si>
    <t>Space/Area</t>
  </si>
  <si>
    <t>Description of Works</t>
  </si>
  <si>
    <t>Material Specifications</t>
  </si>
  <si>
    <t>Quantity</t>
  </si>
  <si>
    <t>Unit</t>
  </si>
  <si>
    <t>Rate (INR)</t>
  </si>
  <si>
    <t>Amount (INR)</t>
  </si>
  <si>
    <t>Remarks</t>
  </si>
  <si>
    <t>1.0</t>
  </si>
  <si>
    <t>CIVIL &amp; DEMOLITION</t>
  </si>
  <si>
    <t>1.1</t>
  </si>
  <si>
    <t>Living Room</t>
  </si>
  <si>
    <t>Dismantling of existing floor tile and IPS base preparation</t>
  </si>
  <si>
    <t>Manual chipping, debris removal included</t>
  </si>
  <si>
    <t>Sft</t>
  </si>
  <si>
    <t>To base concrete level</t>
  </si>
  <si>
    <t>1.2</t>
  </si>
  <si>
    <t>Kitchen &amp; Bath</t>
  </si>
  <si>
    <t>Waterproofing of wet areas with dual layer chemical coat</t>
  </si>
  <si>
    <t>Dr. Fixit waterproofing compound + cement slurry coating</t>
  </si>
  <si>
    <t>LS</t>
  </si>
  <si>
    <t>With 5 yr warranty</t>
  </si>
  <si>
    <t>2.0</t>
  </si>
  <si>
    <t>FALSE CEILING &amp; ELECTRICAL</t>
  </si>
  <si>
    <t>2.1</t>
  </si>
  <si>
    <t>All Areas</t>
  </si>
  <si>
    <t>Gypsum board false ceiling on G.I. suspension grid</t>
  </si>
  <si>
    <t>Saint Gobain Gypsum, perimeter channel &amp; joint tapes</t>
  </si>
  <si>
    <t>COB light grooves as per drawing</t>
  </si>
  <si>
    <t>2.2</t>
  </si>
  <si>
    <t>Concealed wiring, electrical conduits and modular boxes</t>
  </si>
  <si>
    <t>Finolex FRLS wires, Polycab PVC conduits, metal boxes</t>
  </si>
  <si>
    <t>Switches in separate supply scope</t>
  </si>
  <si>
    <t>3.0</t>
  </si>
  <si>
    <t>WOODWORK &amp; PANELING</t>
  </si>
  <si>
    <t>3.1</t>
  </si>
  <si>
    <t>Master Bed</t>
  </si>
  <si>
    <t>Custom wardrobe with sliding doors and laminate carcass</t>
  </si>
  <si>
    <t>Greenply MR plywood, 1mm Century veneer exterior, Hettich channels</t>
  </si>
  <si>
    <t>Handle-less profile design</t>
  </si>
  <si>
    <t>3.2</t>
  </si>
  <si>
    <t>Living Area</t>
  </si>
  <si>
    <t>TV Backing wall paneling with veneer &amp; metallic profile inlays</t>
  </si>
  <si>
    <t>HDHMR board core, natural walnut veneer, SS Gold T-profiles</t>
  </si>
  <si>
    <t>Walnut polish finish</t>
  </si>
  <si>
    <t>4.0</t>
  </si>
  <si>
    <t>PAINTING &amp; FINISHES</t>
  </si>
  <si>
    <t>4.1</t>
  </si>
  <si>
    <t>Wall putty preparation, primer &amp; premium emulsion paint</t>
  </si>
  <si>
    <t>Asian Paints Royale Luxury Emulsion, 2 coats putty, 2 coats paint</t>
  </si>
  <si>
    <t>Colors as per moodboard</t>
  </si>
  <si>
    <t>GRAND TOTAL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</si>
</sst>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C5A059"/>
      <sz val="10"/>
      <name val="Outfit"/>
    </font>
    <font>
      <b/>
      <color rgb="FFF5F5F0"/>
      <sz val="10"/>
      <name val="Outfit"/>
    </font>
    <font>
      <b/>
      <color rgb="FF1A1A1A"/>
      <sz val="11"/>
      <name val="Outfit"/>
    </font>
    <font>
      <color rgb="FF1A1A1A"/>
      <sz val="10"/>
      <name val="Outfit"/>
    </font>
    <font>
      <b/>
      <color rgb="FF1A1A1A"/>
      <sz val="10"/>
      <name val="Outfit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FDFDFB"/>
      </patternFill>
    </fill>
    <fill>
      <patternFill patternType="solid">
        <fgColor rgb="FFC5A059"/>
      </patternFill>
    </fill>
  </fills>
  <borders count="5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thin">
        <color rgb="FFC5A059"/>
      </bottom>
      <diagonal/>
    </border>
    <border>
      <left style="thin">
        <color rgb="FFE5E5E0"/>
      </left>
      <right style="thin">
        <color rgb="FFE5E5E0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66" customWidth="1"/>
    <col min="4" max="4" width="70" customWidth="1"/>
    <col min="5" max="8" width="30" customWidth="1"/>
    <col min="9" max="9" width="37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</row>
    <row r="5" ht="26" customHeight="1" spans="1:9" x14ac:dyDescent="0.2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</row>
    <row r="6" ht="22" customHeight="1" spans="1:9" x14ac:dyDescent="0.25">
      <c r="A6" s="5" t="s">
        <v>14</v>
      </c>
      <c r="B6" s="5" t="s">
        <v>15</v>
      </c>
      <c r="C6" s="5"/>
      <c r="D6" s="5"/>
      <c r="E6" s="5"/>
      <c r="F6" s="5"/>
      <c r="G6" s="5"/>
      <c r="H6" s="5"/>
      <c r="I6" s="5"/>
    </row>
    <row r="7" ht="28" customHeight="1" spans="1:9" x14ac:dyDescent="0.25">
      <c r="A7" s="6" t="s">
        <v>16</v>
      </c>
      <c r="B7" s="7" t="s">
        <v>17</v>
      </c>
      <c r="C7" s="7" t="s">
        <v>18</v>
      </c>
      <c r="D7" s="7" t="s">
        <v>19</v>
      </c>
      <c r="E7" s="8">
        <v>450</v>
      </c>
      <c r="F7" s="6" t="s">
        <v>20</v>
      </c>
      <c r="G7" s="8">
        <v>45</v>
      </c>
      <c r="H7" s="9">
        <f>E7*G7</f>
      </c>
      <c r="I7" s="7" t="s">
        <v>21</v>
      </c>
    </row>
    <row r="8" ht="28" customHeight="1" spans="1:9" x14ac:dyDescent="0.25">
      <c r="A8" s="10" t="s">
        <v>22</v>
      </c>
      <c r="B8" s="11" t="s">
        <v>23</v>
      </c>
      <c r="C8" s="11" t="s">
        <v>24</v>
      </c>
      <c r="D8" s="11" t="s">
        <v>25</v>
      </c>
      <c r="E8" s="12">
        <v>2</v>
      </c>
      <c r="F8" s="10" t="s">
        <v>26</v>
      </c>
      <c r="G8" s="12">
        <v>35000</v>
      </c>
      <c r="H8" s="13">
        <f>E8*G8</f>
      </c>
      <c r="I8" s="11" t="s">
        <v>27</v>
      </c>
    </row>
    <row r="9" ht="22" customHeight="1" spans="1:9" x14ac:dyDescent="0.25">
      <c r="A9" s="5" t="s">
        <v>28</v>
      </c>
      <c r="B9" s="5" t="s">
        <v>29</v>
      </c>
      <c r="C9" s="5"/>
      <c r="D9" s="5"/>
      <c r="E9" s="5"/>
      <c r="F9" s="5"/>
      <c r="G9" s="5"/>
      <c r="H9" s="5"/>
      <c r="I9" s="5"/>
    </row>
    <row r="10" ht="28" customHeight="1" spans="1:9" x14ac:dyDescent="0.25">
      <c r="A10" s="10" t="s">
        <v>30</v>
      </c>
      <c r="B10" s="11" t="s">
        <v>31</v>
      </c>
      <c r="C10" s="11" t="s">
        <v>32</v>
      </c>
      <c r="D10" s="11" t="s">
        <v>33</v>
      </c>
      <c r="E10" s="12">
        <v>1800</v>
      </c>
      <c r="F10" s="10" t="s">
        <v>20</v>
      </c>
      <c r="G10" s="12">
        <v>115</v>
      </c>
      <c r="H10" s="13">
        <f>E10*G10</f>
      </c>
      <c r="I10" s="11" t="s">
        <v>34</v>
      </c>
    </row>
    <row r="11" ht="28" customHeight="1" spans="1:9" x14ac:dyDescent="0.25">
      <c r="A11" s="6" t="s">
        <v>35</v>
      </c>
      <c r="B11" s="7" t="s">
        <v>31</v>
      </c>
      <c r="C11" s="7" t="s">
        <v>36</v>
      </c>
      <c r="D11" s="7" t="s">
        <v>37</v>
      </c>
      <c r="E11" s="8">
        <v>1</v>
      </c>
      <c r="F11" s="6" t="s">
        <v>26</v>
      </c>
      <c r="G11" s="8">
        <v>145000</v>
      </c>
      <c r="H11" s="9">
        <f>E11*G11</f>
      </c>
      <c r="I11" s="7" t="s">
        <v>38</v>
      </c>
    </row>
    <row r="12" ht="22" customHeight="1" spans="1:9" x14ac:dyDescent="0.25">
      <c r="A12" s="5" t="s">
        <v>39</v>
      </c>
      <c r="B12" s="5" t="s">
        <v>40</v>
      </c>
      <c r="C12" s="5"/>
      <c r="D12" s="5"/>
      <c r="E12" s="5"/>
      <c r="F12" s="5"/>
      <c r="G12" s="5"/>
      <c r="H12" s="5"/>
      <c r="I12" s="5"/>
    </row>
    <row r="13" ht="28" customHeight="1" spans="1:9" x14ac:dyDescent="0.25">
      <c r="A13" s="6" t="s">
        <v>41</v>
      </c>
      <c r="B13" s="7" t="s">
        <v>42</v>
      </c>
      <c r="C13" s="7" t="s">
        <v>43</v>
      </c>
      <c r="D13" s="7" t="s">
        <v>44</v>
      </c>
      <c r="E13" s="8">
        <v>140</v>
      </c>
      <c r="F13" s="6" t="s">
        <v>20</v>
      </c>
      <c r="G13" s="8">
        <v>1950</v>
      </c>
      <c r="H13" s="9">
        <f>E13*G13</f>
      </c>
      <c r="I13" s="7" t="s">
        <v>45</v>
      </c>
    </row>
    <row r="14" ht="28" customHeight="1" spans="1:9" x14ac:dyDescent="0.25">
      <c r="A14" s="10" t="s">
        <v>46</v>
      </c>
      <c r="B14" s="11" t="s">
        <v>47</v>
      </c>
      <c r="C14" s="11" t="s">
        <v>48</v>
      </c>
      <c r="D14" s="11" t="s">
        <v>49</v>
      </c>
      <c r="E14" s="12">
        <v>120</v>
      </c>
      <c r="F14" s="10" t="s">
        <v>20</v>
      </c>
      <c r="G14" s="12">
        <v>850</v>
      </c>
      <c r="H14" s="13">
        <f>E14*G14</f>
      </c>
      <c r="I14" s="11" t="s">
        <v>50</v>
      </c>
    </row>
    <row r="15" ht="22" customHeight="1" spans="1:9" x14ac:dyDescent="0.25">
      <c r="A15" s="5" t="s">
        <v>51</v>
      </c>
      <c r="B15" s="5" t="s">
        <v>52</v>
      </c>
      <c r="C15" s="5"/>
      <c r="D15" s="5"/>
      <c r="E15" s="5"/>
      <c r="F15" s="5"/>
      <c r="G15" s="5"/>
      <c r="H15" s="5"/>
      <c r="I15" s="5"/>
    </row>
    <row r="16" ht="28" customHeight="1" spans="1:9" x14ac:dyDescent="0.25">
      <c r="A16" s="10" t="s">
        <v>53</v>
      </c>
      <c r="B16" s="11" t="s">
        <v>31</v>
      </c>
      <c r="C16" s="11" t="s">
        <v>54</v>
      </c>
      <c r="D16" s="11" t="s">
        <v>55</v>
      </c>
      <c r="E16" s="12">
        <v>5600</v>
      </c>
      <c r="F16" s="10" t="s">
        <v>20</v>
      </c>
      <c r="G16" s="12">
        <v>48</v>
      </c>
      <c r="H16" s="13">
        <f>E16*G16</f>
      </c>
      <c r="I16" s="11" t="s">
        <v>56</v>
      </c>
    </row>
    <row r="17" spans="1:9" x14ac:dyDescent="0.25">
      <c r="A17" s="14" t="s">
        <v>57</v>
      </c>
      <c r="B17" s="14"/>
      <c r="C17" s="14"/>
      <c r="D17" s="14"/>
      <c r="E17" s="14"/>
      <c r="F17" s="14"/>
      <c r="G17" s="14"/>
      <c r="H17" s="15">
        <f>=SUM(H6:H16)</f>
      </c>
      <c r="I17" s="14"/>
    </row>
  </sheetData>
  <mergeCells count="10">
    <mergeCell ref="A1:I2"/>
    <mergeCell ref="A3:I3"/>
    <mergeCell ref="A4:C4"/>
    <mergeCell ref="D4:F4"/>
    <mergeCell ref="G4:I4"/>
    <mergeCell ref="B6:I6"/>
    <mergeCell ref="B9:I9"/>
    <mergeCell ref="B12:I12"/>
    <mergeCell ref="B15:I15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2026-06-30T06:35:00Z</dcterms:created>
  <dcterms:modified xsi:type="dcterms:W3CDTF">2026-06-30T06:35:00Z</dcterms:modified>
</cp:coreProperties>
</file>