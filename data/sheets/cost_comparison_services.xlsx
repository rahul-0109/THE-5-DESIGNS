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s Cost Comparison" state="visible" r:id="rId4"/>
  </sheets>
  <calcPr calcId="171027"/>
</workbook>
</file>

<file path=xl/sharedStrings.xml><?xml version="1.0" encoding="utf-8"?>
<sst xmlns="http://schemas.openxmlformats.org/spreadsheetml/2006/main" count="35" uniqueCount="33">
  <si>
    <t>THE 5 DESIGNS</t>
  </si>
  <si>
    <t>SERVICES &amp; CONTRACTING COST COMPARISON (CONTRACTOR QUOTES ANALYSIS)</t>
  </si>
  <si>
    <t>S.No.</t>
  </si>
  <si>
    <t>Service Description</t>
  </si>
  <si>
    <t>Category</t>
  </si>
  <si>
    <t>Qty</t>
  </si>
  <si>
    <t>Unit</t>
  </si>
  <si>
    <t>Contr A Rate</t>
  </si>
  <si>
    <t>Contr A Total</t>
  </si>
  <si>
    <t>Contr B Rate</t>
  </si>
  <si>
    <t>Contr B Total</t>
  </si>
  <si>
    <t>Contr C Rate</t>
  </si>
  <si>
    <t>Contr C Total</t>
  </si>
  <si>
    <t>Selected Contr</t>
  </si>
  <si>
    <t>Budget (INR)</t>
  </si>
  <si>
    <t>Variance vs Budget</t>
  </si>
  <si>
    <t>Remarks</t>
  </si>
  <si>
    <t>1</t>
  </si>
  <si>
    <t>Wardrobe Joinery Labor</t>
  </si>
  <si>
    <t>Carpentry</t>
  </si>
  <si>
    <t>Sft</t>
  </si>
  <si>
    <t>Contr A</t>
  </si>
  <si>
    <t>Contr A has better finishing crew</t>
  </si>
  <si>
    <t>2</t>
  </si>
  <si>
    <t>Wall Texture Painting</t>
  </si>
  <si>
    <t>Painting</t>
  </si>
  <si>
    <t>Contr B</t>
  </si>
  <si>
    <t>Contr B is specialized in texture</t>
  </si>
  <si>
    <t>3</t>
  </si>
  <si>
    <t>Italian Marble Polish</t>
  </si>
  <si>
    <t>Flooring</t>
  </si>
  <si>
    <t>Contr C</t>
  </si>
  <si>
    <t>Contr C offers 7-step mirror 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</si>
</sst>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F5F5F0"/>
      <sz val="16"/>
      <name val="Outfit"/>
    </font>
    <font>
      <b/>
      <color rgb="FFC5A059"/>
      <sz val="11"/>
      <name val="Outfit"/>
    </font>
    <font>
      <b/>
      <color rgb="FFF5F5F0"/>
      <sz val="10"/>
      <name val="Outfit"/>
    </font>
    <font>
      <color rgb="FF1A1A1A"/>
      <sz val="10"/>
      <name val="Outfit"/>
    </font>
    <font>
      <b/>
      <color rgb="FF1A1A1A"/>
      <sz val="10"/>
      <name val="Outfit"/>
    </font>
    <font>
      <b/>
      <color rgb="FFC5A059"/>
      <sz val="10"/>
      <name val="Outfit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FDFDFB"/>
      </patternFill>
    </fill>
  </fills>
  <borders count="3">
    <border>
      <left/>
      <right/>
      <top/>
      <bottom/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medium">
        <color rgb="FFC5A059"/>
      </bottom>
      <diagonal/>
    </border>
    <border>
      <left style="thin">
        <color rgb="FFE5E5E0"/>
      </left>
      <right style="thin">
        <color rgb="FFE5E5E0"/>
      </right>
      <top style="thin">
        <color rgb="FFE5E5E0"/>
      </top>
      <bottom style="thin">
        <color rgb="FFE5E5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18" customWidth="1"/>
    <col min="4" max="5" width="10" customWidth="1"/>
    <col min="6" max="6" width="14" customWidth="1"/>
    <col min="7" max="7" width="16" customWidth="1"/>
    <col min="8" max="14" width="12" customWidth="1"/>
    <col min="15" max="15" width="39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ht="28" customHeight="1" spans="1:15" x14ac:dyDescent="0.25">
      <c r="A5" s="4" t="s">
        <v>17</v>
      </c>
      <c r="B5" s="5" t="s">
        <v>18</v>
      </c>
      <c r="C5" s="6" t="s">
        <v>19</v>
      </c>
      <c r="D5" s="7">
        <v>140</v>
      </c>
      <c r="E5" s="4" t="s">
        <v>20</v>
      </c>
      <c r="F5" s="7">
        <v>450</v>
      </c>
      <c r="G5" s="7">
        <f>=D5*F5</f>
      </c>
      <c r="H5" s="7">
        <v>480</v>
      </c>
      <c r="I5" s="7">
        <f>=D5*H5</f>
      </c>
      <c r="J5" s="7">
        <v>430</v>
      </c>
      <c r="K5" s="7">
        <f>=D5*J5</f>
      </c>
      <c r="L5" s="8" t="s">
        <v>21</v>
      </c>
      <c r="M5" s="7">
        <v>65000</v>
      </c>
      <c r="N5" s="9">
        <f>=IF(L5="Contr A", G5, IF(L5="Contr B", I5, K5)) - M5</f>
      </c>
      <c r="O5" s="6" t="s">
        <v>22</v>
      </c>
    </row>
    <row r="6" ht="28" customHeight="1" spans="1:15" x14ac:dyDescent="0.25">
      <c r="A6" s="10" t="s">
        <v>23</v>
      </c>
      <c r="B6" s="11" t="s">
        <v>24</v>
      </c>
      <c r="C6" s="12" t="s">
        <v>25</v>
      </c>
      <c r="D6" s="13">
        <v>5400</v>
      </c>
      <c r="E6" s="10" t="s">
        <v>20</v>
      </c>
      <c r="F6" s="13">
        <v>12</v>
      </c>
      <c r="G6" s="13">
        <f>=D6*F6</f>
      </c>
      <c r="H6" s="13">
        <v>10</v>
      </c>
      <c r="I6" s="13">
        <f>=D6*H6</f>
      </c>
      <c r="J6" s="13">
        <v>15</v>
      </c>
      <c r="K6" s="13">
        <f>=D6*J6</f>
      </c>
      <c r="L6" s="14" t="s">
        <v>26</v>
      </c>
      <c r="M6" s="13">
        <v>60000</v>
      </c>
      <c r="N6" s="15">
        <f>=IF(L6="Contr A", G6, IF(L6="Contr B", I6, K6)) - M6</f>
      </c>
      <c r="O6" s="12" t="s">
        <v>27</v>
      </c>
    </row>
    <row r="7" ht="28" customHeight="1" spans="1:15" x14ac:dyDescent="0.25">
      <c r="A7" s="4" t="s">
        <v>28</v>
      </c>
      <c r="B7" s="5" t="s">
        <v>29</v>
      </c>
      <c r="C7" s="6" t="s">
        <v>30</v>
      </c>
      <c r="D7" s="7">
        <v>450</v>
      </c>
      <c r="E7" s="4" t="s">
        <v>20</v>
      </c>
      <c r="F7" s="7">
        <v>85</v>
      </c>
      <c r="G7" s="7">
        <f>=D7*F7</f>
      </c>
      <c r="H7" s="7">
        <v>90</v>
      </c>
      <c r="I7" s="7">
        <f>=D7*H7</f>
      </c>
      <c r="J7" s="7">
        <v>80</v>
      </c>
      <c r="K7" s="7">
        <f>=D7*J7</f>
      </c>
      <c r="L7" s="8" t="s">
        <v>31</v>
      </c>
      <c r="M7" s="7">
        <v>40000</v>
      </c>
      <c r="N7" s="9">
        <f>=IF(L7="Contr A", G7, IF(L7="Contr B", I7, K7)) - M7</f>
      </c>
      <c r="O7" s="6" t="s">
        <v>32</v>
      </c>
    </row>
  </sheetData>
  <mergeCells count="2">
    <mergeCell ref="A1:O2"/>
    <mergeCell ref="A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 Cost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2026-06-30T18:00:59Z</dcterms:created>
  <dcterms:modified xsi:type="dcterms:W3CDTF">2026-06-30T18:00:59Z</dcterms:modified>
</cp:coreProperties>
</file>